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ickets" sheetId="2" state="visible" r:id="rId2"/>
  </sheets>
  <definedNames>
    <definedName name="_xlnm._FilterDatabase" localSheetId="1" hidden="1">'Tickets'!$A$1:$M$2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"/>
    <numFmt numFmtId="166" formatCode="0.0%"/>
    <numFmt numFmtId="167" formatCode="0.0"/>
  </numFmts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color rgb="001F3864"/>
      <sz val="16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1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'Summary'!B14</f>
            </strRef>
          </tx>
          <spPr>
            <a:ln>
              <a:prstDash val="solid"/>
            </a:ln>
          </spPr>
          <cat>
            <numRef>
              <f>'Summary'!$A$15</f>
            </numRef>
          </cat>
          <val>
            <numRef>
              <f>'Summary'!$B$15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Tickets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504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</cols>
  <sheetData>
    <row r="1">
      <c r="A1" s="1" t="inlineStr">
        <is>
          <t>AutoFix Desk - Service Desk MIS Report</t>
        </is>
      </c>
    </row>
    <row r="2">
      <c r="A2" s="2" t="inlineStr">
        <is>
          <t>Generated 2026-10-27 21:49 | Data source filter: lab</t>
        </is>
      </c>
    </row>
    <row r="4">
      <c r="A4" s="3" t="inlineStr">
        <is>
          <t>KPI</t>
        </is>
      </c>
      <c r="B4" s="3" t="inlineStr">
        <is>
          <t>Value</t>
        </is>
      </c>
    </row>
    <row r="5">
      <c r="A5" s="4" t="inlineStr">
        <is>
          <t>Total tickets</t>
        </is>
      </c>
      <c r="B5" s="5">
        <f>COUNTA(Tickets!A2:A2)</f>
        <v/>
      </c>
    </row>
    <row r="6">
      <c r="A6" s="4" t="inlineStr">
        <is>
          <t>Resolved</t>
        </is>
      </c>
      <c r="B6" s="5">
        <f>COUNTIF(Tickets!F2:F2,"Resolved")</f>
        <v/>
      </c>
    </row>
    <row r="7">
      <c r="A7" s="4" t="inlineStr">
        <is>
          <t>Escalated</t>
        </is>
      </c>
      <c r="B7" s="5">
        <f>COUNTIF(Tickets!F2:F2,"Escalated")</f>
        <v/>
      </c>
    </row>
    <row r="8">
      <c r="A8" s="4" t="inlineStr">
        <is>
          <t>Open</t>
        </is>
      </c>
      <c r="B8" s="5">
        <f>COUNTIF(Tickets!F2:F2,"Open")</f>
        <v/>
      </c>
    </row>
    <row r="9">
      <c r="A9" s="4" t="inlineStr">
        <is>
          <t>Auto-resolution rate</t>
        </is>
      </c>
      <c r="B9" s="6">
        <f>IFERROR(COUNTIF(Tickets!L2:L2,"Yes")/B5,0)</f>
        <v/>
      </c>
    </row>
    <row r="10">
      <c r="A10" s="4" t="inlineStr">
        <is>
          <t>SLA met % (resolved tickets)</t>
        </is>
      </c>
      <c r="B10" s="6">
        <f>IFERROR(COUNTIF(Tickets!K2:K2,"Yes")/B6,0)</f>
        <v/>
      </c>
    </row>
    <row r="11">
      <c r="A11" s="4" t="inlineStr">
        <is>
          <t>Escalation rate</t>
        </is>
      </c>
      <c r="B11" s="6">
        <f>IFERROR(B7/B5,0)</f>
        <v/>
      </c>
    </row>
    <row r="12">
      <c r="A12" s="4" t="inlineStr">
        <is>
          <t>Avg resolution time (min)</t>
        </is>
      </c>
      <c r="B12" s="7">
        <f>IFERROR(AVERAGE(Tickets!J2:J2),0)</f>
        <v/>
      </c>
    </row>
    <row r="14">
      <c r="A14" s="3" t="inlineStr">
        <is>
          <t>Category</t>
        </is>
      </c>
      <c r="B14" s="3" t="inlineStr">
        <is>
          <t>Tickets</t>
        </is>
      </c>
    </row>
    <row r="15">
      <c r="A15" s="4" t="inlineStr">
        <is>
          <t>Hardware/Storage</t>
        </is>
      </c>
      <c r="B15" s="4">
        <f>COUNTIF(Tickets!C2:C2,A15)</f>
        <v/>
      </c>
    </row>
    <row r="17">
      <c r="A17" s="2" t="inlineStr">
        <is>
          <t>Assumptions: SLA targets come from config.py (P1 60m, P2 240m, P3 480m, P4 1440m) - typical L1 values, not a client's real policy.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8" customWidth="1" min="3" max="3"/>
    <col width="9" customWidth="1" min="4" max="4"/>
    <col width="60" customWidth="1" min="5" max="5"/>
    <col width="11" customWidth="1" min="6" max="6"/>
    <col width="20" customWidth="1" min="7" max="7"/>
    <col width="17" customWidth="1" min="8" max="8"/>
    <col width="17" customWidth="1" min="9" max="9"/>
    <col width="14" customWidth="1" min="10" max="10"/>
    <col width="9" customWidth="1" min="11" max="11"/>
    <col width="13" customWidth="1" min="12" max="12"/>
    <col width="8" customWidth="1" min="13" max="13"/>
  </cols>
  <sheetData>
    <row r="1">
      <c r="A1" s="8" t="inlineStr">
        <is>
          <t>Ticket ID</t>
        </is>
      </c>
      <c r="B1" s="8" t="inlineStr">
        <is>
          <t>Created</t>
        </is>
      </c>
      <c r="C1" s="8" t="inlineStr">
        <is>
          <t>Category</t>
        </is>
      </c>
      <c r="D1" s="8" t="inlineStr">
        <is>
          <t>Priority</t>
        </is>
      </c>
      <c r="E1" s="8" t="inlineStr">
        <is>
          <t>Summary</t>
        </is>
      </c>
      <c r="F1" s="8" t="inlineStr">
        <is>
          <t>Status</t>
        </is>
      </c>
      <c r="G1" s="8" t="inlineStr">
        <is>
          <t>Assigned Group</t>
        </is>
      </c>
      <c r="H1" s="8" t="inlineStr">
        <is>
          <t>SLA Due</t>
        </is>
      </c>
      <c r="I1" s="8" t="inlineStr">
        <is>
          <t>Resolved At</t>
        </is>
      </c>
      <c r="J1" s="8" t="inlineStr">
        <is>
          <t>Resolution (min)</t>
        </is>
      </c>
      <c r="K1" s="8" t="inlineStr">
        <is>
          <t>SLA Met</t>
        </is>
      </c>
      <c r="L1" s="8" t="inlineStr">
        <is>
          <t>Auto-Resolved</t>
        </is>
      </c>
      <c r="M1" s="8" t="inlineStr">
        <is>
          <t>Source</t>
        </is>
      </c>
    </row>
    <row r="2">
      <c r="A2" s="4" t="inlineStr">
        <is>
          <t>INC20261027-0001</t>
        </is>
      </c>
      <c r="B2" s="9" t="n">
        <v>46322.90892361111</v>
      </c>
      <c r="C2" s="4" t="inlineStr">
        <is>
          <t>Hardware/Storage</t>
        </is>
      </c>
      <c r="D2" s="4" t="inlineStr">
        <is>
          <t>P3</t>
        </is>
      </c>
      <c r="E2" s="4" t="inlineStr">
        <is>
          <t>Disk space: 18.4% free on C:\</t>
        </is>
      </c>
      <c r="F2" s="4" t="inlineStr">
        <is>
          <t>Escalated</t>
        </is>
      </c>
      <c r="G2" s="4" t="inlineStr">
        <is>
          <t>L2 Support</t>
        </is>
      </c>
      <c r="H2" s="9" t="n">
        <v>46323.24225694445</v>
      </c>
      <c r="I2" s="9" t="n"/>
      <c r="J2" s="4">
        <f>IF(I2="","",ROUND((I2-B2)*1440,1))</f>
        <v/>
      </c>
      <c r="K2" s="4">
        <f>IF(I2="","",IF(I2&lt;=H2,"Yes","No"))</f>
        <v/>
      </c>
      <c r="L2" s="4" t="inlineStr">
        <is>
          <t>No</t>
        </is>
      </c>
      <c r="M2" s="4" t="inlineStr">
        <is>
          <t>lab</t>
        </is>
      </c>
    </row>
  </sheetData>
  <autoFilter ref="A1:M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2026-10-27T16:19:51Z</dcterms:created>
  <dcterms:modified xsi:type="dcterms:W3CDTF">2026-10-27T16:19:51Z</dcterms:modified>
</cp:coreProperties>
</file>